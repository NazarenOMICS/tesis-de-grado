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Z:\Bioquimica Analitica\Nazareno Cabera\"/>
    </mc:Choice>
  </mc:AlternateContent>
  <xr:revisionPtr revIDLastSave="0" documentId="13_ncr:1_{68FFEB36-FB8E-405C-845C-1EAE9455C52D}" xr6:coauthVersionLast="36" xr6:coauthVersionMax="36" xr10:uidLastSave="{00000000-0000-0000-0000-000000000000}"/>
  <bookViews>
    <workbookView xWindow="105" yWindow="105" windowWidth="9000" windowHeight="7995" activeTab="1" xr2:uid="{00000000-000D-0000-FFFF-FFFF00000000}"/>
  </bookViews>
  <sheets>
    <sheet name="Datos" sheetId="1" r:id="rId1"/>
    <sheet name="Análisis" sheetId="2" r:id="rId2"/>
    <sheet name="Gráficos" sheetId="3" r:id="rId3"/>
  </sheets>
  <calcPr calcId="191029"/>
  <webPublishing codePage="1250"/>
</workbook>
</file>

<file path=xl/calcChain.xml><?xml version="1.0" encoding="utf-8"?>
<calcChain xmlns="http://schemas.openxmlformats.org/spreadsheetml/2006/main">
  <c r="B19" i="2" l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H11" i="2"/>
  <c r="C14" i="2"/>
  <c r="C13" i="2"/>
  <c r="D10" i="2"/>
  <c r="E10" i="2"/>
  <c r="J10" i="2"/>
  <c r="C8" i="2"/>
  <c r="D8" i="2"/>
  <c r="E8" i="2"/>
  <c r="F8" i="2"/>
  <c r="G8" i="2"/>
  <c r="H8" i="2"/>
  <c r="I8" i="2"/>
  <c r="J8" i="2"/>
  <c r="K8" i="2"/>
  <c r="L8" i="2"/>
  <c r="M8" i="2"/>
  <c r="M10" i="2" s="1"/>
  <c r="N8" i="2"/>
  <c r="C9" i="2"/>
  <c r="D9" i="2"/>
  <c r="E9" i="2"/>
  <c r="F9" i="2"/>
  <c r="G9" i="2"/>
  <c r="H9" i="2"/>
  <c r="I9" i="2"/>
  <c r="J9" i="2"/>
  <c r="K9" i="2"/>
  <c r="K11" i="2" s="1"/>
  <c r="L9" i="2"/>
  <c r="M9" i="2"/>
  <c r="N9" i="2"/>
  <c r="D7" i="2"/>
  <c r="D11" i="2" s="1"/>
  <c r="E7" i="2"/>
  <c r="E11" i="2" s="1"/>
  <c r="F7" i="2"/>
  <c r="F10" i="2" s="1"/>
  <c r="G7" i="2"/>
  <c r="G10" i="2" s="1"/>
  <c r="H7" i="2"/>
  <c r="H10" i="2" s="1"/>
  <c r="I7" i="2"/>
  <c r="I10" i="2" s="1"/>
  <c r="J7" i="2"/>
  <c r="J11" i="2" s="1"/>
  <c r="K7" i="2"/>
  <c r="K10" i="2" s="1"/>
  <c r="L7" i="2"/>
  <c r="L10" i="2" s="1"/>
  <c r="M7" i="2"/>
  <c r="M11" i="2" s="1"/>
  <c r="N7" i="2"/>
  <c r="N10" i="2" s="1"/>
  <c r="C7" i="2"/>
  <c r="C10" i="2" s="1"/>
  <c r="E6" i="2"/>
  <c r="F6" i="2" s="1"/>
  <c r="G6" i="2" s="1"/>
  <c r="H6" i="2" s="1"/>
  <c r="I6" i="2" s="1"/>
  <c r="J6" i="2" s="1"/>
  <c r="K6" i="2" s="1"/>
  <c r="L6" i="2" s="1"/>
  <c r="M6" i="2" s="1"/>
  <c r="N6" i="2" s="1"/>
  <c r="D6" i="2"/>
  <c r="E3" i="2"/>
  <c r="D3" i="2"/>
  <c r="C3" i="2"/>
  <c r="B3" i="2"/>
  <c r="C11" i="2" l="1"/>
  <c r="N11" i="2"/>
  <c r="L11" i="2"/>
  <c r="I11" i="2"/>
  <c r="G11" i="2"/>
  <c r="F11" i="2"/>
</calcChain>
</file>

<file path=xl/sharedStrings.xml><?xml version="1.0" encoding="utf-8"?>
<sst xmlns="http://schemas.openxmlformats.org/spreadsheetml/2006/main" count="119" uniqueCount="57">
  <si>
    <t>Measurement results</t>
  </si>
  <si>
    <t>Nazareno UbyPa MIC od600 (1)</t>
  </si>
  <si>
    <t>17/4/2026 10:22:16</t>
  </si>
  <si>
    <t xml:space="preserve"> </t>
  </si>
  <si>
    <t>Absorbance 1</t>
  </si>
  <si>
    <t>Wavelength: 600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</si>
  <si>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</si>
  <si>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</si>
  <si>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</si>
  <si>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</si>
  <si>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</si>
  <si>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</si>
  <si>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</si>
  <si>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</si>
  <si>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</si>
  <si>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</si>
  <si>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</si>
  <si>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EMB dil Muestras0001</t>
  </si>
  <si>
    <t>EMB dil Muestras0002</t>
  </si>
  <si>
    <t>EMB dil Muestras0003</t>
  </si>
  <si>
    <t>EMB dil Muestras0004</t>
  </si>
  <si>
    <t>EMB dil Muestras0005</t>
  </si>
  <si>
    <t>EMB dil Muestras0006</t>
  </si>
  <si>
    <t>EMB dil Muestras0007</t>
  </si>
  <si>
    <t>EMB dil Muestras0008</t>
  </si>
  <si>
    <t>EMB dil Muestras0009</t>
  </si>
  <si>
    <t>EMB dil Muestras0010</t>
  </si>
  <si>
    <t>EMB dil Muestras0011</t>
  </si>
  <si>
    <t>EMB dil Muestras0012</t>
  </si>
  <si>
    <t>Correccion optica0001</t>
  </si>
  <si>
    <t>Correccion optica0002</t>
  </si>
  <si>
    <t>Correccion optica0003</t>
  </si>
  <si>
    <t>Correccion optica0004</t>
  </si>
  <si>
    <t>Correccion optica0005</t>
  </si>
  <si>
    <t>Correccion optica0006</t>
  </si>
  <si>
    <t>Correccion optica0007</t>
  </si>
  <si>
    <t>Correccion optica0008</t>
  </si>
  <si>
    <t>Correccion optica0009</t>
  </si>
  <si>
    <t>Correccion optica0010</t>
  </si>
  <si>
    <t>Correccion optica0011</t>
  </si>
  <si>
    <t>Correccion optica0012</t>
  </si>
  <si>
    <t>ctrl +0001</t>
  </si>
  <si>
    <t>ctrl -0001</t>
  </si>
  <si>
    <t>Blank1</t>
  </si>
  <si>
    <t>Promedio Blancos</t>
  </si>
  <si>
    <t>Promedios C+</t>
  </si>
  <si>
    <t>Promedios C-</t>
  </si>
  <si>
    <t>Promedio EMB</t>
  </si>
  <si>
    <t>EMB 1</t>
  </si>
  <si>
    <t>EMB 2</t>
  </si>
  <si>
    <t>EMB 3</t>
  </si>
  <si>
    <t>Curvas ajustadas:</t>
  </si>
  <si>
    <t>CC</t>
  </si>
  <si>
    <t>Promedio</t>
  </si>
  <si>
    <t>C+ (-blanco)</t>
  </si>
  <si>
    <t>C- (-blanco)</t>
  </si>
  <si>
    <t>Desvio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</si>
</sst>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0" formatCode="0.0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Concentración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Análisis!$B$18:$B$29</c:f>
              <c:numCache>
                <c:formatCode>General</c:formatCode>
                <c:ptCount val="12"/>
                <c:pt idx="0">
                  <c:v>512</c:v>
                </c:pt>
                <c:pt idx="1">
                  <c:v>256</c:v>
                </c:pt>
                <c:pt idx="2">
                  <c:v>128</c:v>
                </c:pt>
                <c:pt idx="3">
                  <c:v>64</c:v>
                </c:pt>
                <c:pt idx="4">
                  <c:v>32</c:v>
                </c:pt>
                <c:pt idx="5">
                  <c:v>16</c:v>
                </c:pt>
                <c:pt idx="6">
                  <c:v>8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0.5</c:v>
                </c:pt>
                <c:pt idx="11">
                  <c:v>0.25</c:v>
                </c:pt>
              </c:numCache>
            </c:numRef>
          </c:xVal>
          <c:yVal>
            <c:numRef>
              <c:f>Análisis!$F$18:$F$29</c:f>
              <c:numCache>
                <c:formatCode>General</c:formatCode>
                <c:ptCount val="12"/>
                <c:pt idx="0">
                  <c:v>6.5757575757575846E-3</c:v>
                </c:pt>
                <c:pt idx="1">
                  <c:v>1.1575757575757585E-2</c:v>
                </c:pt>
                <c:pt idx="2">
                  <c:v>1.124242424242425E-2</c:v>
                </c:pt>
                <c:pt idx="3">
                  <c:v>1.2242424242424251E-2</c:v>
                </c:pt>
                <c:pt idx="4">
                  <c:v>1.5575757575757588E-2</c:v>
                </c:pt>
                <c:pt idx="5">
                  <c:v>2.590909090909092E-2</c:v>
                </c:pt>
                <c:pt idx="6">
                  <c:v>1.8909090909090921E-2</c:v>
                </c:pt>
                <c:pt idx="7">
                  <c:v>4.3242424242424249E-2</c:v>
                </c:pt>
                <c:pt idx="8">
                  <c:v>4.5242424242424251E-2</c:v>
                </c:pt>
                <c:pt idx="9">
                  <c:v>5.5242424242424253E-2</c:v>
                </c:pt>
                <c:pt idx="10">
                  <c:v>9.8242424242424242E-2</c:v>
                </c:pt>
                <c:pt idx="11">
                  <c:v>0.16590909090909092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60-4430-BAA3-8FCA30154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989023"/>
        <c:axId val="1690091119"/>
      </c:scatterChart>
      <c:valAx>
        <c:axId val="169498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690091119"/>
        <c:crosses val="autoZero"/>
        <c:crossBetween val="midCat"/>
      </c:valAx>
      <c:valAx>
        <c:axId val="169009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69498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15</xdr:row>
      <xdr:rowOff>152400</xdr:rowOff>
    </xdr:from>
    <xdr:to>
      <xdr:col>16</xdr:col>
      <xdr:colOff>295275</xdr:colOff>
      <xdr:row>32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726AC-FD6D-4F88-9C44-188DBEBE5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M28"/>
  <sheetViews>
    <sheetView topLeftCell="B1" workbookViewId="0"/>
  </sheetViews>
  <sheetFormatPr defaultColWidth="9.140625" defaultRowHeight="15" customHeight="1" x14ac:dyDescent="0.2"/>
  <cols>
    <col min="1" max="1" width="20.28515625" customWidth="1"/>
    <col min="2" max="13" width="21.710937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5" customHeight="1" x14ac:dyDescent="0.2">
      <c r="A11" t="s">
        <v>8</v>
      </c>
      <c r="B11" s="2">
        <v>5.0999999999999997E-2</v>
      </c>
      <c r="C11" s="2">
        <v>5.6000000000000001E-2</v>
      </c>
      <c r="D11" s="2">
        <v>5.3999999999999999E-2</v>
      </c>
      <c r="E11" s="2">
        <v>5.5E-2</v>
      </c>
      <c r="F11" s="2">
        <v>5.7000000000000002E-2</v>
      </c>
      <c r="G11" s="2">
        <v>5.3999999999999999E-2</v>
      </c>
      <c r="H11" s="2">
        <v>0.06</v>
      </c>
      <c r="I11" s="2">
        <v>0.06</v>
      </c>
      <c r="J11" s="2">
        <v>5.8999999999999997E-2</v>
      </c>
      <c r="K11" s="2">
        <v>7.8E-2</v>
      </c>
      <c r="L11" s="2">
        <v>0.106</v>
      </c>
      <c r="M11" s="2">
        <v>0.24399999999999999</v>
      </c>
    </row>
    <row r="12" spans="1:13" ht="15" customHeight="1" x14ac:dyDescent="0.2">
      <c r="A12" t="s">
        <v>9</v>
      </c>
      <c r="B12" s="2">
        <v>4.7E-2</v>
      </c>
      <c r="C12" s="2">
        <v>5.1999999999999998E-2</v>
      </c>
      <c r="D12" s="2">
        <v>5.0999999999999997E-2</v>
      </c>
      <c r="E12" s="2">
        <v>5.1999999999999998E-2</v>
      </c>
      <c r="F12" s="2">
        <v>5.8000000000000003E-2</v>
      </c>
      <c r="G12" s="2">
        <v>6.0999999999999999E-2</v>
      </c>
      <c r="H12" s="2">
        <v>5.5E-2</v>
      </c>
      <c r="I12" s="2">
        <v>9.6000000000000002E-2</v>
      </c>
      <c r="J12" s="2">
        <v>0.108</v>
      </c>
      <c r="K12" s="2">
        <v>0.109</v>
      </c>
      <c r="L12" s="2">
        <v>0.11</v>
      </c>
      <c r="M12" s="2">
        <v>0.17499999999999999</v>
      </c>
    </row>
    <row r="13" spans="1:13" ht="15" customHeight="1" x14ac:dyDescent="0.2">
      <c r="A13" t="s">
        <v>10</v>
      </c>
      <c r="B13" s="2">
        <v>4.8000000000000001E-2</v>
      </c>
      <c r="C13" s="2">
        <v>5.2999999999999999E-2</v>
      </c>
      <c r="D13" s="2">
        <v>5.5E-2</v>
      </c>
      <c r="E13" s="2">
        <v>5.6000000000000001E-2</v>
      </c>
      <c r="F13" s="2">
        <v>5.8000000000000003E-2</v>
      </c>
      <c r="G13" s="2">
        <v>8.8999999999999996E-2</v>
      </c>
      <c r="H13" s="2">
        <v>6.8000000000000005E-2</v>
      </c>
      <c r="I13" s="2">
        <v>0.1</v>
      </c>
      <c r="J13" s="2">
        <v>9.5000000000000001E-2</v>
      </c>
      <c r="K13" s="2">
        <v>0.105</v>
      </c>
      <c r="L13" s="2">
        <v>0.20499999999999999</v>
      </c>
      <c r="M13" s="2">
        <v>0.20499999999999999</v>
      </c>
    </row>
    <row r="14" spans="1:13" ht="15" customHeight="1" x14ac:dyDescent="0.2">
      <c r="A14" t="s">
        <v>11</v>
      </c>
      <c r="B14" s="2">
        <v>3.9E-2</v>
      </c>
      <c r="C14" s="2">
        <v>3.9E-2</v>
      </c>
      <c r="D14" s="2">
        <v>0.04</v>
      </c>
      <c r="E14" s="2">
        <v>4.1000000000000002E-2</v>
      </c>
      <c r="F14" s="2">
        <v>4.2000000000000003E-2</v>
      </c>
      <c r="G14" s="2">
        <v>4.2999999999999997E-2</v>
      </c>
      <c r="H14" s="2">
        <v>5.8999999999999997E-2</v>
      </c>
      <c r="I14" s="2">
        <v>3.9E-2</v>
      </c>
      <c r="J14" s="2">
        <v>4.2000000000000003E-2</v>
      </c>
      <c r="K14" s="2">
        <v>4.2999999999999997E-2</v>
      </c>
      <c r="L14" s="2">
        <v>4.5999999999999999E-2</v>
      </c>
      <c r="M14" s="2">
        <v>4.2999999999999997E-2</v>
      </c>
    </row>
    <row r="15" spans="1:13" ht="15" customHeight="1" x14ac:dyDescent="0.2">
      <c r="A15" t="s">
        <v>12</v>
      </c>
      <c r="B15" s="2">
        <v>0.41</v>
      </c>
      <c r="C15" s="2">
        <v>0.54200000000000004</v>
      </c>
      <c r="D15" s="2">
        <v>0.432</v>
      </c>
    </row>
    <row r="16" spans="1:13" ht="15" customHeight="1" x14ac:dyDescent="0.2">
      <c r="A16" t="s">
        <v>13</v>
      </c>
      <c r="B16" s="2">
        <v>0.05</v>
      </c>
      <c r="C16" s="2">
        <v>0.05</v>
      </c>
      <c r="D16" s="2">
        <v>5.3999999999999999E-2</v>
      </c>
    </row>
    <row r="17" spans="1:13" ht="15" customHeight="1" x14ac:dyDescent="0.2">
      <c r="A17" t="s">
        <v>14</v>
      </c>
      <c r="B17" s="2">
        <v>0.04</v>
      </c>
      <c r="C17" s="2">
        <v>4.2999999999999997E-2</v>
      </c>
      <c r="D17" s="2">
        <v>4.2999999999999997E-2</v>
      </c>
      <c r="E17" s="2">
        <v>4.2000000000000003E-2</v>
      </c>
      <c r="F17" s="2">
        <v>4.2999999999999997E-2</v>
      </c>
      <c r="G17" s="2">
        <v>4.1000000000000002E-2</v>
      </c>
      <c r="H17" s="2">
        <v>4.3999999999999997E-2</v>
      </c>
      <c r="I17" s="2">
        <v>4.1000000000000002E-2</v>
      </c>
      <c r="J17" s="2">
        <v>4.2999999999999997E-2</v>
      </c>
      <c r="K17" s="2">
        <v>4.1000000000000002E-2</v>
      </c>
      <c r="L17" s="2">
        <v>4.2000000000000003E-2</v>
      </c>
      <c r="M17" s="2">
        <v>4.2999999999999997E-2</v>
      </c>
    </row>
    <row r="18" spans="1:13" ht="15" customHeight="1" x14ac:dyDescent="0.2">
      <c r="A18" t="s">
        <v>15</v>
      </c>
    </row>
    <row r="20" spans="1:13" ht="15" customHeight="1" x14ac:dyDescent="0.2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5" customHeight="1" x14ac:dyDescent="0.2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 ht="15" customHeight="1" x14ac:dyDescent="0.2">
      <c r="A22" t="s">
        <v>9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26</v>
      </c>
      <c r="L22" t="s">
        <v>27</v>
      </c>
      <c r="M22" t="s">
        <v>28</v>
      </c>
    </row>
    <row r="23" spans="1:13" ht="15" customHeight="1" x14ac:dyDescent="0.2">
      <c r="A23" t="s">
        <v>10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26</v>
      </c>
      <c r="L23" t="s">
        <v>27</v>
      </c>
      <c r="M23" t="s">
        <v>28</v>
      </c>
    </row>
    <row r="24" spans="1:13" ht="15" customHeight="1" x14ac:dyDescent="0.2">
      <c r="A24" t="s">
        <v>11</v>
      </c>
      <c r="B24" t="s">
        <v>29</v>
      </c>
      <c r="C24" t="s">
        <v>30</v>
      </c>
      <c r="D24" t="s">
        <v>31</v>
      </c>
      <c r="E24" t="s">
        <v>32</v>
      </c>
      <c r="F24" t="s">
        <v>33</v>
      </c>
      <c r="G24" t="s">
        <v>34</v>
      </c>
      <c r="H24" t="s">
        <v>35</v>
      </c>
      <c r="I24" t="s">
        <v>36</v>
      </c>
      <c r="J24" t="s">
        <v>37</v>
      </c>
      <c r="K24" t="s">
        <v>38</v>
      </c>
      <c r="L24" t="s">
        <v>39</v>
      </c>
      <c r="M24" t="s">
        <v>40</v>
      </c>
    </row>
    <row r="25" spans="1:13" ht="15" customHeight="1" x14ac:dyDescent="0.2">
      <c r="A25" t="s">
        <v>12</v>
      </c>
      <c r="B25" t="s">
        <v>41</v>
      </c>
      <c r="C25" t="s">
        <v>41</v>
      </c>
      <c r="D25" t="s">
        <v>41</v>
      </c>
    </row>
    <row r="26" spans="1:13" ht="15" customHeight="1" x14ac:dyDescent="0.2">
      <c r="A26" t="s">
        <v>13</v>
      </c>
      <c r="B26" t="s">
        <v>42</v>
      </c>
      <c r="C26" t="s">
        <v>42</v>
      </c>
      <c r="D26" t="s">
        <v>42</v>
      </c>
    </row>
    <row r="27" spans="1:13" ht="15" customHeight="1" x14ac:dyDescent="0.2">
      <c r="A27" t="s">
        <v>14</v>
      </c>
      <c r="B27" t="s">
        <v>43</v>
      </c>
      <c r="C27" t="s">
        <v>43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</row>
    <row r="28" spans="1:13" ht="15" customHeight="1" x14ac:dyDescent="0.2">
      <c r="A2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8327-8D06-46C9-B490-DB8FF1EDCC37}">
  <dimension ref="B2:AB29"/>
  <sheetViews>
    <sheetView tabSelected="1" workbookViewId="0">
      <selection activeCell="I19" sqref="I19"/>
    </sheetView>
  </sheetViews>
  <sheetFormatPr defaultRowHeight="12.75" x14ac:dyDescent="0.2"/>
  <cols>
    <col min="2" max="2" width="16.28515625" bestFit="1" customWidth="1"/>
    <col min="3" max="4" width="12.85546875" bestFit="1" customWidth="1"/>
    <col min="5" max="5" width="13.7109375" bestFit="1" customWidth="1"/>
    <col min="6" max="7" width="12" bestFit="1" customWidth="1"/>
  </cols>
  <sheetData>
    <row r="2" spans="2:28" x14ac:dyDescent="0.2">
      <c r="B2" t="s">
        <v>44</v>
      </c>
      <c r="C2" t="s">
        <v>45</v>
      </c>
      <c r="D2" t="s">
        <v>46</v>
      </c>
      <c r="E2" t="s">
        <v>47</v>
      </c>
    </row>
    <row r="3" spans="2:28" x14ac:dyDescent="0.2">
      <c r="B3">
        <f>AVERAGE(Datos!B17:L17)</f>
        <v>4.2090909090909082E-2</v>
      </c>
      <c r="C3">
        <f>AVERAGE(Datos!B15:D15)</f>
        <v>0.46133333333333332</v>
      </c>
      <c r="D3">
        <f>AVERAGE(Datos!B16:D16)</f>
        <v>5.1333333333333335E-2</v>
      </c>
      <c r="E3">
        <f>AVERAGE(Datos!B14:M14)</f>
        <v>4.299999999999999E-2</v>
      </c>
    </row>
    <row r="5" spans="2:28" x14ac:dyDescent="0.2">
      <c r="B5" t="s">
        <v>51</v>
      </c>
      <c r="P5" t="s">
        <v>51</v>
      </c>
    </row>
    <row r="6" spans="2:28" x14ac:dyDescent="0.2">
      <c r="B6" t="s">
        <v>52</v>
      </c>
      <c r="C6">
        <v>512</v>
      </c>
      <c r="D6">
        <f>C6/2</f>
        <v>256</v>
      </c>
      <c r="E6">
        <f t="shared" ref="E6:I6" si="0">D6/2</f>
        <v>128</v>
      </c>
      <c r="F6">
        <f t="shared" si="0"/>
        <v>64</v>
      </c>
      <c r="G6">
        <f t="shared" si="0"/>
        <v>32</v>
      </c>
      <c r="H6">
        <f t="shared" si="0"/>
        <v>16</v>
      </c>
      <c r="I6">
        <f t="shared" si="0"/>
        <v>8</v>
      </c>
      <c r="J6">
        <f>I6/2</f>
        <v>4</v>
      </c>
      <c r="K6">
        <f>J6/2</f>
        <v>2</v>
      </c>
      <c r="L6">
        <f t="shared" ref="L6" si="1">K6/2</f>
        <v>1</v>
      </c>
      <c r="M6">
        <f>L6/2</f>
        <v>0.5</v>
      </c>
      <c r="N6">
        <f t="shared" ref="N6" si="2">M6/2</f>
        <v>0.25</v>
      </c>
      <c r="P6" t="s">
        <v>52</v>
      </c>
      <c r="Q6">
        <v>512</v>
      </c>
      <c r="R6">
        <v>256</v>
      </c>
      <c r="S6">
        <v>128</v>
      </c>
      <c r="T6">
        <v>64</v>
      </c>
      <c r="U6">
        <v>32</v>
      </c>
      <c r="V6">
        <v>16</v>
      </c>
      <c r="W6">
        <v>8</v>
      </c>
      <c r="X6">
        <v>4</v>
      </c>
      <c r="Y6">
        <v>2</v>
      </c>
      <c r="Z6">
        <v>1</v>
      </c>
      <c r="AA6">
        <v>0.5</v>
      </c>
      <c r="AB6">
        <v>0.25</v>
      </c>
    </row>
    <row r="7" spans="2:28" x14ac:dyDescent="0.2">
      <c r="B7" t="s">
        <v>48</v>
      </c>
      <c r="C7" s="3">
        <f>Datos!B11-$B$3</f>
        <v>8.9090909090909151E-3</v>
      </c>
      <c r="D7" s="3">
        <f>Datos!C11-$B$3</f>
        <v>1.390909090909092E-2</v>
      </c>
      <c r="E7" s="3">
        <f>Datos!D11-$B$3</f>
        <v>1.1909090909090918E-2</v>
      </c>
      <c r="F7" s="3">
        <f>Datos!E11-$B$3</f>
        <v>1.2909090909090919E-2</v>
      </c>
      <c r="G7" s="3">
        <f>Datos!F11-$B$3</f>
        <v>1.490909090909092E-2</v>
      </c>
      <c r="H7" s="3">
        <f>Datos!G11-$B$3</f>
        <v>1.1909090909090918E-2</v>
      </c>
      <c r="I7" s="3">
        <f>Datos!H11-$B$3</f>
        <v>1.7909090909090916E-2</v>
      </c>
      <c r="J7" s="3">
        <f>Datos!I11-$B$3</f>
        <v>1.7909090909090916E-2</v>
      </c>
      <c r="K7" s="3">
        <f>Datos!J11-$B$3</f>
        <v>1.6909090909090915E-2</v>
      </c>
      <c r="L7" s="3">
        <f>Datos!K11-$B$3</f>
        <v>3.5909090909090918E-2</v>
      </c>
      <c r="M7" s="3">
        <f>Datos!L11-$B$3</f>
        <v>6.3909090909090915E-2</v>
      </c>
      <c r="N7" s="3">
        <f>Datos!M11-$B$3</f>
        <v>0.20190909090909093</v>
      </c>
      <c r="P7" t="s">
        <v>48</v>
      </c>
      <c r="Q7">
        <v>8.9090909090909151E-3</v>
      </c>
      <c r="R7">
        <v>1.390909090909092E-2</v>
      </c>
      <c r="S7">
        <v>1.1909090909090918E-2</v>
      </c>
      <c r="T7">
        <v>1.2909090909090919E-2</v>
      </c>
      <c r="U7">
        <v>1.490909090909092E-2</v>
      </c>
      <c r="V7">
        <v>1.1909090909090918E-2</v>
      </c>
      <c r="W7">
        <v>1.7909090909090916E-2</v>
      </c>
      <c r="X7">
        <v>1.7909090909090916E-2</v>
      </c>
      <c r="Y7">
        <v>1.6909090909090915E-2</v>
      </c>
      <c r="Z7">
        <v>3.5909090909090918E-2</v>
      </c>
      <c r="AA7">
        <v>6.3909090909090915E-2</v>
      </c>
      <c r="AB7">
        <v>0.20190909090909093</v>
      </c>
    </row>
    <row r="8" spans="2:28" x14ac:dyDescent="0.2">
      <c r="B8" t="s">
        <v>49</v>
      </c>
      <c r="C8" s="3">
        <f>Datos!B12-$B$3</f>
        <v>4.9090909090909185E-3</v>
      </c>
      <c r="D8" s="3">
        <f>Datos!C12-$B$3</f>
        <v>9.909090909090916E-3</v>
      </c>
      <c r="E8" s="3">
        <f>Datos!D12-$B$3</f>
        <v>8.9090909090909151E-3</v>
      </c>
      <c r="F8" s="3">
        <f>Datos!E12-$B$3</f>
        <v>9.909090909090916E-3</v>
      </c>
      <c r="G8" s="3">
        <f>Datos!F12-$B$3</f>
        <v>1.5909090909090921E-2</v>
      </c>
      <c r="H8" s="3">
        <f>Datos!G12-$B$3</f>
        <v>1.8909090909090917E-2</v>
      </c>
      <c r="I8" s="3">
        <f>Datos!H12-$B$3</f>
        <v>1.2909090909090919E-2</v>
      </c>
      <c r="J8" s="3">
        <f>Datos!I12-$B$3</f>
        <v>5.390909090909092E-2</v>
      </c>
      <c r="K8" s="3">
        <f>Datos!J12-$B$3</f>
        <v>6.5909090909090917E-2</v>
      </c>
      <c r="L8" s="3">
        <f>Datos!K12-$B$3</f>
        <v>6.6909090909090918E-2</v>
      </c>
      <c r="M8" s="3">
        <f>Datos!L12-$B$3</f>
        <v>6.7909090909090919E-2</v>
      </c>
      <c r="N8" s="3">
        <f>Datos!M12-$B$3</f>
        <v>0.13290909090909092</v>
      </c>
      <c r="P8" t="s">
        <v>49</v>
      </c>
      <c r="Q8">
        <v>4.9090909090909185E-3</v>
      </c>
      <c r="R8">
        <v>9.909090909090916E-3</v>
      </c>
      <c r="S8">
        <v>8.9090909090909151E-3</v>
      </c>
      <c r="T8">
        <v>9.909090909090916E-3</v>
      </c>
      <c r="U8">
        <v>1.5909090909090921E-2</v>
      </c>
      <c r="V8">
        <v>1.8909090909090917E-2</v>
      </c>
      <c r="W8">
        <v>1.2909090909090919E-2</v>
      </c>
      <c r="X8">
        <v>5.390909090909092E-2</v>
      </c>
      <c r="Y8">
        <v>6.5909090909090917E-2</v>
      </c>
      <c r="Z8">
        <v>6.6909090909090918E-2</v>
      </c>
      <c r="AA8">
        <v>6.7909090909090919E-2</v>
      </c>
      <c r="AB8">
        <v>0.13290909090909092</v>
      </c>
    </row>
    <row r="9" spans="2:28" x14ac:dyDescent="0.2">
      <c r="B9" t="s">
        <v>50</v>
      </c>
      <c r="C9" s="3">
        <f>Datos!B13-$B$3</f>
        <v>5.9090909090909194E-3</v>
      </c>
      <c r="D9" s="3">
        <f>Datos!C13-$B$3</f>
        <v>1.0909090909090917E-2</v>
      </c>
      <c r="E9" s="3">
        <f>Datos!D13-$B$3</f>
        <v>1.2909090909090919E-2</v>
      </c>
      <c r="F9" s="3">
        <f>Datos!E13-$B$3</f>
        <v>1.390909090909092E-2</v>
      </c>
      <c r="G9" s="3">
        <f>Datos!F13-$B$3</f>
        <v>1.5909090909090921E-2</v>
      </c>
      <c r="H9" s="3">
        <f>Datos!G13-$B$3</f>
        <v>4.6909090909090914E-2</v>
      </c>
      <c r="I9" s="3">
        <f>Datos!H13-$B$3</f>
        <v>2.5909090909090923E-2</v>
      </c>
      <c r="J9" s="3">
        <f>Datos!I13-$B$3</f>
        <v>5.7909090909090924E-2</v>
      </c>
      <c r="K9" s="3">
        <f>Datos!J13-$B$3</f>
        <v>5.2909090909090919E-2</v>
      </c>
      <c r="L9" s="3">
        <f>Datos!K13-$B$3</f>
        <v>6.2909090909090915E-2</v>
      </c>
      <c r="M9" s="3">
        <f>Datos!L13-$B$3</f>
        <v>0.16290909090909089</v>
      </c>
      <c r="N9" s="3">
        <f>Datos!M13-$B$3</f>
        <v>0.16290909090909089</v>
      </c>
      <c r="P9" t="s">
        <v>50</v>
      </c>
      <c r="Q9">
        <v>5.9090909090909194E-3</v>
      </c>
      <c r="R9">
        <v>1.0909090909090917E-2</v>
      </c>
      <c r="S9">
        <v>1.2909090909090919E-2</v>
      </c>
      <c r="T9">
        <v>1.390909090909092E-2</v>
      </c>
      <c r="U9">
        <v>1.5909090909090921E-2</v>
      </c>
      <c r="V9">
        <v>4.6909090909090914E-2</v>
      </c>
      <c r="W9">
        <v>2.5909090909090923E-2</v>
      </c>
      <c r="X9">
        <v>5.7909090909090924E-2</v>
      </c>
      <c r="Y9">
        <v>5.2909090909090919E-2</v>
      </c>
      <c r="Z9">
        <v>6.2909090909090915E-2</v>
      </c>
      <c r="AA9">
        <v>0.16290909090909089</v>
      </c>
      <c r="AB9">
        <v>0.16290909090909089</v>
      </c>
    </row>
    <row r="10" spans="2:28" x14ac:dyDescent="0.2">
      <c r="B10" t="s">
        <v>53</v>
      </c>
      <c r="C10" s="3">
        <f>AVERAGE(C7:C9)</f>
        <v>6.5757575757575846E-3</v>
      </c>
      <c r="D10" s="3">
        <f t="shared" ref="D10:N10" si="3">AVERAGE(D7:D9)</f>
        <v>1.1575757575757585E-2</v>
      </c>
      <c r="E10" s="3">
        <f t="shared" si="3"/>
        <v>1.124242424242425E-2</v>
      </c>
      <c r="F10" s="3">
        <f t="shared" si="3"/>
        <v>1.2242424242424251E-2</v>
      </c>
      <c r="G10" s="3">
        <f t="shared" si="3"/>
        <v>1.5575757575757588E-2</v>
      </c>
      <c r="H10" s="3">
        <f t="shared" si="3"/>
        <v>2.590909090909092E-2</v>
      </c>
      <c r="I10" s="3">
        <f t="shared" si="3"/>
        <v>1.8909090909090921E-2</v>
      </c>
      <c r="J10" s="3">
        <f t="shared" si="3"/>
        <v>4.3242424242424249E-2</v>
      </c>
      <c r="K10" s="3">
        <f t="shared" si="3"/>
        <v>4.5242424242424251E-2</v>
      </c>
      <c r="L10" s="3">
        <f t="shared" si="3"/>
        <v>5.5242424242424253E-2</v>
      </c>
      <c r="M10" s="3">
        <f t="shared" si="3"/>
        <v>9.8242424242424242E-2</v>
      </c>
      <c r="N10" s="3">
        <f t="shared" si="3"/>
        <v>0.16590909090909092</v>
      </c>
      <c r="P10" t="s">
        <v>53</v>
      </c>
      <c r="Q10">
        <v>6.5757575757575846E-3</v>
      </c>
      <c r="R10">
        <v>1.1575757575757585E-2</v>
      </c>
      <c r="S10">
        <v>1.124242424242425E-2</v>
      </c>
      <c r="T10">
        <v>1.2242424242424251E-2</v>
      </c>
      <c r="U10">
        <v>1.5575757575757588E-2</v>
      </c>
      <c r="V10">
        <v>2.590909090909092E-2</v>
      </c>
      <c r="W10">
        <v>1.8909090909090921E-2</v>
      </c>
      <c r="X10">
        <v>4.3242424242424249E-2</v>
      </c>
      <c r="Y10">
        <v>4.5242424242424251E-2</v>
      </c>
      <c r="Z10">
        <v>5.5242424242424253E-2</v>
      </c>
      <c r="AA10">
        <v>9.8242424242424242E-2</v>
      </c>
      <c r="AB10">
        <v>0.16590909090909092</v>
      </c>
    </row>
    <row r="11" spans="2:28" x14ac:dyDescent="0.2">
      <c r="B11" t="s">
        <v>56</v>
      </c>
      <c r="C11">
        <f>_xlfn.STDEV.P(C7:C9)</f>
        <v>1.6996731711975933E-3</v>
      </c>
      <c r="D11">
        <f t="shared" ref="D11:N11" si="4">_xlfn.STDEV.P(D7:D9)</f>
        <v>1.6996731711975963E-3</v>
      </c>
      <c r="E11">
        <f t="shared" si="4"/>
        <v>1.6996731711975965E-3</v>
      </c>
      <c r="F11">
        <f t="shared" si="4"/>
        <v>1.6996731711975965E-3</v>
      </c>
      <c r="G11">
        <f t="shared" si="4"/>
        <v>4.7140452079103207E-4</v>
      </c>
      <c r="H11">
        <f t="shared" si="4"/>
        <v>1.5121728296285001E-2</v>
      </c>
      <c r="I11">
        <f t="shared" si="4"/>
        <v>5.3541261347363409E-3</v>
      </c>
      <c r="J11">
        <f t="shared" si="4"/>
        <v>1.7987650084309404E-2</v>
      </c>
      <c r="K11">
        <f t="shared" si="4"/>
        <v>2.072572207561308E-2</v>
      </c>
      <c r="L11">
        <f t="shared" si="4"/>
        <v>1.3767917618708905E-2</v>
      </c>
      <c r="M11">
        <f t="shared" si="4"/>
        <v>4.575538826800133E-2</v>
      </c>
      <c r="N11">
        <f t="shared" si="4"/>
        <v>2.8248893783651002E-2</v>
      </c>
      <c r="P11" t="s">
        <v>56</v>
      </c>
      <c r="Q11">
        <v>1.6996731711975933E-3</v>
      </c>
      <c r="R11">
        <v>1.6996731711975963E-3</v>
      </c>
      <c r="S11">
        <v>1.6996731711975965E-3</v>
      </c>
      <c r="T11">
        <v>1.6996731711975965E-3</v>
      </c>
      <c r="U11">
        <v>4.7140452079103207E-4</v>
      </c>
      <c r="V11">
        <v>1.5121728296285001E-2</v>
      </c>
      <c r="W11">
        <v>5.3541261347363409E-3</v>
      </c>
      <c r="X11">
        <v>1.7987650084309404E-2</v>
      </c>
      <c r="Y11">
        <v>2.072572207561308E-2</v>
      </c>
      <c r="Z11">
        <v>1.3767917618708905E-2</v>
      </c>
      <c r="AA11">
        <v>4.575538826800133E-2</v>
      </c>
      <c r="AB11">
        <v>2.8248893783651002E-2</v>
      </c>
    </row>
    <row r="13" spans="2:28" x14ac:dyDescent="0.2">
      <c r="B13" t="s">
        <v>54</v>
      </c>
      <c r="C13" s="3">
        <f>C3-B3</f>
        <v>0.41924242424242425</v>
      </c>
    </row>
    <row r="14" spans="2:28" x14ac:dyDescent="0.2">
      <c r="B14" t="s">
        <v>55</v>
      </c>
      <c r="C14" s="3">
        <f>D3-B3</f>
        <v>9.2424242424242534E-3</v>
      </c>
    </row>
    <row r="17" spans="2:7" x14ac:dyDescent="0.2">
      <c r="B17" t="s">
        <v>52</v>
      </c>
      <c r="C17" t="s">
        <v>48</v>
      </c>
      <c r="D17" t="s">
        <v>49</v>
      </c>
      <c r="E17" t="s">
        <v>50</v>
      </c>
      <c r="F17" t="s">
        <v>53</v>
      </c>
      <c r="G17" t="s">
        <v>56</v>
      </c>
    </row>
    <row r="18" spans="2:7" x14ac:dyDescent="0.2">
      <c r="B18">
        <v>512</v>
      </c>
      <c r="C18">
        <v>8.9090909090909151E-3</v>
      </c>
      <c r="D18">
        <v>4.9090909090909185E-3</v>
      </c>
      <c r="E18">
        <v>5.9090909090909194E-3</v>
      </c>
      <c r="F18">
        <v>6.5757575757575846E-3</v>
      </c>
      <c r="G18">
        <v>1.6996731711975933E-3</v>
      </c>
    </row>
    <row r="19" spans="2:7" x14ac:dyDescent="0.2">
      <c r="B19">
        <f>B18/2</f>
        <v>256</v>
      </c>
      <c r="C19">
        <v>1.390909090909092E-2</v>
      </c>
      <c r="D19">
        <v>9.909090909090916E-3</v>
      </c>
      <c r="E19">
        <v>1.0909090909090917E-2</v>
      </c>
      <c r="F19">
        <v>1.1575757575757585E-2</v>
      </c>
      <c r="G19">
        <v>1.6996731711975963E-3</v>
      </c>
    </row>
    <row r="20" spans="2:7" x14ac:dyDescent="0.2">
      <c r="B20">
        <f>B19/2</f>
        <v>128</v>
      </c>
      <c r="C20">
        <v>1.1909090909090918E-2</v>
      </c>
      <c r="D20">
        <v>8.9090909090909151E-3</v>
      </c>
      <c r="E20">
        <v>1.2909090909090919E-2</v>
      </c>
      <c r="F20">
        <v>1.124242424242425E-2</v>
      </c>
      <c r="G20">
        <v>1.6996731711975965E-3</v>
      </c>
    </row>
    <row r="21" spans="2:7" x14ac:dyDescent="0.2">
      <c r="B21">
        <f>B20/2</f>
        <v>64</v>
      </c>
      <c r="C21">
        <v>1.2909090909090919E-2</v>
      </c>
      <c r="D21">
        <v>9.909090909090916E-3</v>
      </c>
      <c r="E21">
        <v>1.390909090909092E-2</v>
      </c>
      <c r="F21">
        <v>1.2242424242424251E-2</v>
      </c>
      <c r="G21">
        <v>1.6996731711975965E-3</v>
      </c>
    </row>
    <row r="22" spans="2:7" x14ac:dyDescent="0.2">
      <c r="B22">
        <f>B21/2</f>
        <v>32</v>
      </c>
      <c r="C22">
        <v>1.490909090909092E-2</v>
      </c>
      <c r="D22">
        <v>1.5909090909090921E-2</v>
      </c>
      <c r="E22">
        <v>1.5909090909090921E-2</v>
      </c>
      <c r="F22">
        <v>1.5575757575757588E-2</v>
      </c>
      <c r="G22">
        <v>4.7140452079103207E-4</v>
      </c>
    </row>
    <row r="23" spans="2:7" x14ac:dyDescent="0.2">
      <c r="B23">
        <f>B22/2</f>
        <v>16</v>
      </c>
      <c r="C23">
        <v>1.1909090909090918E-2</v>
      </c>
      <c r="D23">
        <v>1.8909090909090917E-2</v>
      </c>
      <c r="E23">
        <v>4.6909090909090914E-2</v>
      </c>
      <c r="F23">
        <v>2.590909090909092E-2</v>
      </c>
      <c r="G23">
        <v>1.5121728296285001E-2</v>
      </c>
    </row>
    <row r="24" spans="2:7" x14ac:dyDescent="0.2">
      <c r="B24">
        <f>B23/2</f>
        <v>8</v>
      </c>
      <c r="C24">
        <v>1.7909090909090916E-2</v>
      </c>
      <c r="D24">
        <v>1.2909090909090919E-2</v>
      </c>
      <c r="E24">
        <v>2.5909090909090923E-2</v>
      </c>
      <c r="F24">
        <v>1.8909090909090921E-2</v>
      </c>
      <c r="G24">
        <v>5.3541261347363409E-3</v>
      </c>
    </row>
    <row r="25" spans="2:7" x14ac:dyDescent="0.2">
      <c r="B25">
        <f>B24/2</f>
        <v>4</v>
      </c>
      <c r="C25">
        <v>1.7909090909090916E-2</v>
      </c>
      <c r="D25">
        <v>5.390909090909092E-2</v>
      </c>
      <c r="E25">
        <v>5.7909090909090924E-2</v>
      </c>
      <c r="F25">
        <v>4.3242424242424249E-2</v>
      </c>
      <c r="G25">
        <v>1.7987650084309404E-2</v>
      </c>
    </row>
    <row r="26" spans="2:7" x14ac:dyDescent="0.2">
      <c r="B26">
        <f>B25/2</f>
        <v>2</v>
      </c>
      <c r="C26">
        <v>1.6909090909090915E-2</v>
      </c>
      <c r="D26">
        <v>6.5909090909090917E-2</v>
      </c>
      <c r="E26">
        <v>5.2909090909090919E-2</v>
      </c>
      <c r="F26">
        <v>4.5242424242424251E-2</v>
      </c>
      <c r="G26">
        <v>2.072572207561308E-2</v>
      </c>
    </row>
    <row r="27" spans="2:7" x14ac:dyDescent="0.2">
      <c r="B27">
        <f>B26/2</f>
        <v>1</v>
      </c>
      <c r="C27">
        <v>3.5909090909090918E-2</v>
      </c>
      <c r="D27">
        <v>6.6909090909090918E-2</v>
      </c>
      <c r="E27">
        <v>6.2909090909090915E-2</v>
      </c>
      <c r="F27">
        <v>5.5242424242424253E-2</v>
      </c>
      <c r="G27">
        <v>1.3767917618708905E-2</v>
      </c>
    </row>
    <row r="28" spans="2:7" x14ac:dyDescent="0.2">
      <c r="B28">
        <f>B27/2</f>
        <v>0.5</v>
      </c>
      <c r="C28">
        <v>6.3909090909090915E-2</v>
      </c>
      <c r="D28">
        <v>6.7909090909090919E-2</v>
      </c>
      <c r="E28">
        <v>0.16290909090909089</v>
      </c>
      <c r="F28">
        <v>9.8242424242424242E-2</v>
      </c>
      <c r="G28">
        <v>4.575538826800133E-2</v>
      </c>
    </row>
    <row r="29" spans="2:7" x14ac:dyDescent="0.2">
      <c r="B29">
        <f>B28/2</f>
        <v>0.25</v>
      </c>
      <c r="C29">
        <v>0.20190909090909093</v>
      </c>
      <c r="D29">
        <v>0.13290909090909092</v>
      </c>
      <c r="E29">
        <v>0.16290909090909089</v>
      </c>
      <c r="F29">
        <v>0.16590909090909092</v>
      </c>
      <c r="G29">
        <v>2.8248893783651002E-2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484E-62A6-4EE3-9176-5E0FFABF4D69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Análisis</vt:lpstr>
      <vt:lpstr>Gráficos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Servicio Ubypa</cp:lastModifiedBy>
  <dcterms:created xsi:type="dcterms:W3CDTF">2026-04-17T13:24:46Z</dcterms:created>
  <dcterms:modified xsi:type="dcterms:W3CDTF">2026-04-20T19:26:01Z</dcterms:modified>
</cp:coreProperties>
</file>